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574fa9d0bed21d/Desktop/"/>
    </mc:Choice>
  </mc:AlternateContent>
  <xr:revisionPtr revIDLastSave="37" documentId="8_{4843911D-0837-4BFD-AD6F-C958F9777F72}" xr6:coauthVersionLast="47" xr6:coauthVersionMax="47" xr10:uidLastSave="{5DB261F4-ECBE-4822-8282-01BF549B8B4B}"/>
  <bookViews>
    <workbookView xWindow="-108" yWindow="-108" windowWidth="23256" windowHeight="12456" xr2:uid="{07857D07-B5E5-4750-B21F-A727D9CA1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9" i="1" l="1"/>
  <c r="AG19" i="1" s="1"/>
  <c r="AB19" i="1"/>
  <c r="AC19" i="1" s="1"/>
  <c r="X19" i="1"/>
  <c r="Y19" i="1" s="1"/>
  <c r="P19" i="1"/>
  <c r="Q19" i="1" s="1"/>
  <c r="M19" i="1"/>
  <c r="N19" i="1" s="1"/>
  <c r="I19" i="1"/>
  <c r="J19" i="1" s="1"/>
  <c r="F19" i="1"/>
  <c r="G19" i="1" s="1"/>
  <c r="AK18" i="1"/>
  <c r="V18" i="1"/>
  <c r="AI13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teresita tolentino</author>
  </authors>
  <commentList>
    <comment ref="R18" authorId="0" shapeId="0" xr:uid="{C048C7BF-1D42-4FF2-A72D-BFCA47CEBE6A}">
      <text>
        <r>
          <rPr>
            <b/>
            <sz val="10"/>
            <color rgb="FF000000"/>
            <rFont val="Tahoma"/>
            <family val="2"/>
          </rPr>
          <t>teresita tolentino: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number of items
</t>
        </r>
      </text>
    </comment>
  </commentList>
</comments>
</file>

<file path=xl/sharedStrings.xml><?xml version="1.0" encoding="utf-8"?>
<sst xmlns="http://schemas.openxmlformats.org/spreadsheetml/2006/main" count="48" uniqueCount="37">
  <si>
    <t>Republic of the Philippines</t>
  </si>
  <si>
    <t>CAVITE STATE UNIVERSITY</t>
  </si>
  <si>
    <t>Cavite City Campus</t>
  </si>
  <si>
    <t>DEPARTMENT OF INFORMATION  TECHNOLOGY</t>
  </si>
  <si>
    <t>First Semester, 2023-2024</t>
  </si>
  <si>
    <t xml:space="preserve">SECTION:  </t>
  </si>
  <si>
    <t>ROTC-1A</t>
  </si>
  <si>
    <t xml:space="preserve">SUBJECT: </t>
  </si>
  <si>
    <t>NSTP-ROTC</t>
  </si>
  <si>
    <t xml:space="preserve">INSTRUCTOR: </t>
  </si>
  <si>
    <t>ATTENDANCE</t>
  </si>
  <si>
    <t>MILITARY APTITUDE</t>
  </si>
  <si>
    <t>CADET OFFICER PROFICIENCY</t>
  </si>
  <si>
    <t>RAW SCORE</t>
  </si>
  <si>
    <t>FINAL GRADE</t>
  </si>
  <si>
    <t>REMARKS</t>
  </si>
  <si>
    <t>PHYSICAL TRAINING</t>
  </si>
  <si>
    <t>PROPER APPERANCE</t>
  </si>
  <si>
    <t>DISCIPLINE</t>
  </si>
  <si>
    <t>CADET QUALITIES</t>
  </si>
  <si>
    <t xml:space="preserve">LEADERSHIP </t>
  </si>
  <si>
    <t>WORK/DESIGNATION DEDICATION</t>
  </si>
  <si>
    <t xml:space="preserve">         NAME</t>
  </si>
  <si>
    <t>Present</t>
  </si>
  <si>
    <t>No. of meetings</t>
  </si>
  <si>
    <t>TRANS</t>
  </si>
  <si>
    <t>Raw Score</t>
  </si>
  <si>
    <t>TOTAL</t>
  </si>
  <si>
    <t>KNOWLEDGE</t>
  </si>
  <si>
    <t>DEPENDABILITY</t>
  </si>
  <si>
    <t>UNSELFISHNESS</t>
  </si>
  <si>
    <t>DECISIVENESS</t>
  </si>
  <si>
    <t>SCORE</t>
  </si>
  <si>
    <t>PASSED</t>
  </si>
  <si>
    <t>School ID</t>
  </si>
  <si>
    <t>ABC-00001</t>
  </si>
  <si>
    <t>JUAN DELA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</si>
</sst>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0;[Red]0.00"/>
  </numFmts>
  <fonts count="17" x14ac:knownFonts="1">
    <font>
      <sz val="11"/>
      <color theme="1"/>
      <name val="Calibri"/>
      <family val="2"/>
      <scheme val="minor"/>
    </font>
    <font>
      <sz val="9"/>
      <color rgb="FF00206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8"/>
      <color rgb="FF002060"/>
      <name val="Times New Roman"/>
      <family val="1"/>
    </font>
    <font>
      <b/>
      <sz val="9"/>
      <color rgb="FF00206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b/>
      <sz val="8"/>
      <color rgb="FF00206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2060"/>
      </right>
      <top style="thin">
        <color auto="1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auto="1"/>
      </top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auto="1"/>
      </bottom>
      <diagonal/>
    </border>
    <border>
      <left style="thin">
        <color rgb="FF002060"/>
      </left>
      <right style="thin">
        <color rgb="FF002060"/>
      </right>
      <top/>
      <bottom style="thin">
        <color auto="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3" fillId="0" borderId="0" xfId="1" applyFont="1"/>
    <xf numFmtId="0" fontId="4" fillId="0" borderId="0" xfId="1" applyFont="1"/>
    <xf numFmtId="0" fontId="3" fillId="0" borderId="1" xfId="1" applyFont="1" applyBorder="1"/>
    <xf numFmtId="0" fontId="4" fillId="0" borderId="1" xfId="1" applyFont="1" applyBorder="1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/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textRotation="90" wrapText="1"/>
    </xf>
    <xf numFmtId="164" fontId="10" fillId="0" borderId="3" xfId="0" applyNumberFormat="1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0" xfId="0" applyFont="1" applyAlignment="1">
      <alignment vertical="center" textRotation="90" wrapText="1"/>
    </xf>
    <xf numFmtId="164" fontId="6" fillId="0" borderId="0" xfId="0" applyNumberFormat="1" applyFont="1" applyAlignment="1">
      <alignment vertical="center" textRotation="90" wrapText="1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 textRotation="90"/>
    </xf>
    <xf numFmtId="0" fontId="10" fillId="0" borderId="7" xfId="0" applyFont="1" applyBorder="1" applyAlignment="1">
      <alignment horizontal="center" vertical="center" textRotation="90"/>
    </xf>
    <xf numFmtId="9" fontId="10" fillId="0" borderId="8" xfId="0" quotePrefix="1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 wrapText="1"/>
    </xf>
    <xf numFmtId="164" fontId="10" fillId="0" borderId="9" xfId="0" applyNumberFormat="1" applyFont="1" applyBorder="1" applyAlignment="1">
      <alignment horizontal="center" vertical="center" textRotation="255" wrapText="1"/>
    </xf>
    <xf numFmtId="164" fontId="10" fillId="0" borderId="9" xfId="0" applyNumberFormat="1" applyFont="1" applyBorder="1" applyAlignment="1">
      <alignment horizontal="center" vertical="center" textRotation="90"/>
    </xf>
    <xf numFmtId="9" fontId="10" fillId="0" borderId="9" xfId="0" quotePrefix="1" applyNumberFormat="1" applyFont="1" applyBorder="1" applyAlignment="1">
      <alignment horizontal="center" vertical="center" wrapText="1"/>
    </xf>
    <xf numFmtId="164" fontId="10" fillId="0" borderId="9" xfId="0" applyNumberFormat="1" applyFont="1" applyBorder="1" applyAlignment="1">
      <alignment horizontal="center" vertical="center" textRotation="90" wrapText="1"/>
    </xf>
    <xf numFmtId="164" fontId="10" fillId="0" borderId="9" xfId="0" applyNumberFormat="1" applyFont="1" applyBorder="1" applyAlignment="1">
      <alignment horizontal="center" vertical="center" wrapText="1"/>
    </xf>
    <xf numFmtId="9" fontId="10" fillId="0" borderId="9" xfId="0" quotePrefix="1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textRotation="90"/>
    </xf>
    <xf numFmtId="9" fontId="10" fillId="0" borderId="10" xfId="0" quotePrefix="1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textRotation="90"/>
    </xf>
    <xf numFmtId="9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64" fontId="10" fillId="0" borderId="12" xfId="0" applyNumberFormat="1" applyFont="1" applyBorder="1" applyAlignment="1">
      <alignment horizontal="center" vertical="center" textRotation="90"/>
    </xf>
    <xf numFmtId="164" fontId="10" fillId="0" borderId="7" xfId="0" applyNumberFormat="1" applyFont="1" applyBorder="1" applyAlignment="1">
      <alignment horizontal="center" vertical="center" textRotation="255" wrapText="1"/>
    </xf>
    <xf numFmtId="164" fontId="10" fillId="0" borderId="7" xfId="0" applyNumberFormat="1" applyFont="1" applyBorder="1" applyAlignment="1">
      <alignment horizontal="center" vertical="center" textRotation="90"/>
    </xf>
    <xf numFmtId="9" fontId="10" fillId="0" borderId="7" xfId="0" quotePrefix="1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textRotation="90" wrapText="1"/>
    </xf>
    <xf numFmtId="164" fontId="10" fillId="0" borderId="8" xfId="0" applyNumberFormat="1" applyFont="1" applyBorder="1" applyAlignment="1">
      <alignment horizontal="center" vertical="center" wrapText="1"/>
    </xf>
    <xf numFmtId="9" fontId="10" fillId="0" borderId="7" xfId="0" quotePrefix="1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textRotation="90"/>
    </xf>
    <xf numFmtId="9" fontId="10" fillId="0" borderId="1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textRotation="90" wrapText="1"/>
    </xf>
    <xf numFmtId="0" fontId="10" fillId="0" borderId="14" xfId="0" applyFont="1" applyBorder="1" applyAlignment="1">
      <alignment vertical="center" textRotation="90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textRotation="90"/>
    </xf>
    <xf numFmtId="0" fontId="10" fillId="0" borderId="12" xfId="0" applyFont="1" applyBorder="1" applyAlignment="1">
      <alignment horizontal="center" vertical="center" wrapText="1"/>
    </xf>
    <xf numFmtId="1" fontId="10" fillId="0" borderId="16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 textRotation="255" wrapText="1"/>
    </xf>
    <xf numFmtId="0" fontId="10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9" fontId="10" fillId="0" borderId="8" xfId="0" quotePrefix="1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9" fontId="12" fillId="0" borderId="0" xfId="0" applyNumberFormat="1" applyFont="1" applyAlignment="1">
      <alignment vertical="center"/>
    </xf>
    <xf numFmtId="0" fontId="6" fillId="0" borderId="0" xfId="0" applyFont="1" applyAlignment="1">
      <alignment vertical="justify" wrapText="1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" fontId="3" fillId="2" borderId="18" xfId="0" applyNumberFormat="1" applyFont="1" applyFill="1" applyBorder="1" applyAlignment="1">
      <alignment horizontal="center" vertical="center" wrapText="1"/>
    </xf>
    <xf numFmtId="2" fontId="3" fillId="3" borderId="12" xfId="0" applyNumberFormat="1" applyFont="1" applyFill="1" applyBorder="1" applyAlignment="1">
      <alignment horizontal="center" vertical="center" wrapText="1"/>
    </xf>
    <xf numFmtId="165" fontId="3" fillId="4" borderId="13" xfId="0" applyNumberFormat="1" applyFont="1" applyFill="1" applyBorder="1" applyAlignment="1">
      <alignment horizontal="center"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2" fontId="3" fillId="4" borderId="12" xfId="0" applyNumberFormat="1" applyFont="1" applyFill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/>
    </xf>
    <xf numFmtId="2" fontId="3" fillId="4" borderId="1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65" fontId="3" fillId="0" borderId="8" xfId="0" applyNumberFormat="1" applyFont="1" applyBorder="1" applyAlignment="1">
      <alignment horizontal="center"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3" fillId="5" borderId="17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left" vertical="center"/>
    </xf>
    <xf numFmtId="2" fontId="3" fillId="5" borderId="12" xfId="0" applyNumberFormat="1" applyFont="1" applyFill="1" applyBorder="1" applyAlignment="1">
      <alignment horizontal="center" vertical="center" wrapText="1"/>
    </xf>
    <xf numFmtId="165" fontId="3" fillId="5" borderId="13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2" fontId="3" fillId="5" borderId="13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" fillId="5" borderId="0" xfId="0" applyFont="1" applyFill="1"/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2">
    <cellStyle name="Normal" xfId="0" builtinId="0"/>
    <cellStyle name="Normal 3" xfId="1" xr:uid="{6D78CBF2-F8CD-407B-B4ED-DE69C015B1CD}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39EE-8D7A-44A1-8F49-95626AF7E3BA}">
  <dimension ref="A1:AM42"/>
  <sheetViews>
    <sheetView tabSelected="1" topLeftCell="C1" workbookViewId="0">
      <selection activeCell="K11" sqref="K11:U11"/>
    </sheetView>
  </sheetViews>
  <sheetFormatPr defaultColWidth="8.88671875" defaultRowHeight="12" x14ac:dyDescent="0.25"/>
  <cols>
    <col min="1" max="1" width="3.88671875" style="1" customWidth="1"/>
    <col min="2" max="2" width="34.44140625" style="1" customWidth="1"/>
    <col min="3" max="3" width="17.33203125" style="1" customWidth="1"/>
    <col min="4" max="4" width="3.5546875" style="105" customWidth="1"/>
    <col min="5" max="5" width="3.5546875" style="1" bestFit="1" customWidth="1"/>
    <col min="6" max="6" width="4" style="1" bestFit="1" customWidth="1"/>
    <col min="7" max="10" width="5.5546875" style="1" customWidth="1"/>
    <col min="11" max="11" width="5.109375" style="7" customWidth="1"/>
    <col min="12" max="13" width="3.88671875" style="7" customWidth="1"/>
    <col min="14" max="14" width="6.33203125" style="7" customWidth="1"/>
    <col min="15" max="17" width="4.33203125" style="7" customWidth="1"/>
    <col min="18" max="19" width="3.88671875" style="6" customWidth="1"/>
    <col min="20" max="21" width="3.88671875" style="7" customWidth="1"/>
    <col min="22" max="22" width="4.109375" style="8" customWidth="1"/>
    <col min="23" max="23" width="4.109375" style="7" customWidth="1"/>
    <col min="24" max="24" width="3.88671875" style="7" customWidth="1"/>
    <col min="25" max="25" width="4.44140625" style="7" customWidth="1"/>
    <col min="26" max="26" width="5.109375" style="7" customWidth="1"/>
    <col min="27" max="27" width="4.44140625" style="7" customWidth="1"/>
    <col min="28" max="28" width="4.6640625" style="7" customWidth="1"/>
    <col min="29" max="29" width="4.44140625" style="7" customWidth="1"/>
    <col min="30" max="30" width="4.88671875" style="7" customWidth="1"/>
    <col min="31" max="32" width="3.88671875" style="7" customWidth="1"/>
    <col min="33" max="33" width="7.109375" style="7" customWidth="1"/>
    <col min="34" max="34" width="4.44140625" style="7" customWidth="1"/>
    <col min="35" max="35" width="5.33203125" style="8" customWidth="1"/>
    <col min="36" max="36" width="11.33203125" style="8" customWidth="1"/>
    <col min="37" max="37" width="6.33203125" style="7" customWidth="1"/>
    <col min="38" max="38" width="5.44140625" style="7" bestFit="1" customWidth="1"/>
    <col min="39" max="16384" width="8.88671875" style="7"/>
  </cols>
  <sheetData>
    <row r="1" spans="1:38" ht="13.2" x14ac:dyDescent="0.25">
      <c r="B1" s="2" t="s">
        <v>0</v>
      </c>
      <c r="C1" s="2"/>
      <c r="D1" s="3"/>
      <c r="E1" s="2"/>
      <c r="F1" s="2"/>
      <c r="G1" s="2"/>
      <c r="H1" s="2"/>
      <c r="I1" s="2"/>
      <c r="J1" s="2"/>
      <c r="K1" s="4"/>
      <c r="L1" s="4"/>
      <c r="M1" s="4"/>
      <c r="N1" s="4"/>
      <c r="O1" s="4"/>
      <c r="P1" s="4"/>
      <c r="Q1" s="4"/>
      <c r="R1" s="5"/>
    </row>
    <row r="2" spans="1:38" ht="13.2" x14ac:dyDescent="0.25">
      <c r="B2" s="9" t="s">
        <v>1</v>
      </c>
      <c r="C2" s="9"/>
      <c r="D2" s="10"/>
      <c r="E2" s="9"/>
      <c r="F2" s="9"/>
      <c r="G2" s="9"/>
      <c r="H2" s="9"/>
      <c r="I2" s="9"/>
      <c r="J2" s="9"/>
      <c r="K2" s="4"/>
      <c r="L2" s="4"/>
      <c r="M2" s="4"/>
      <c r="N2" s="4"/>
      <c r="O2" s="4"/>
      <c r="P2" s="4"/>
      <c r="Q2" s="4"/>
      <c r="R2" s="5"/>
    </row>
    <row r="3" spans="1:38" ht="13.2" x14ac:dyDescent="0.25">
      <c r="B3" s="9" t="s">
        <v>2</v>
      </c>
      <c r="C3" s="9"/>
      <c r="D3" s="10"/>
      <c r="E3" s="9"/>
      <c r="F3" s="9"/>
      <c r="G3" s="9"/>
      <c r="H3" s="9"/>
      <c r="I3" s="9"/>
      <c r="J3" s="9"/>
      <c r="K3" s="4"/>
      <c r="L3" s="4"/>
      <c r="M3" s="4"/>
      <c r="N3" s="4"/>
      <c r="O3" s="4"/>
      <c r="P3" s="4"/>
      <c r="Q3" s="4"/>
      <c r="R3" s="5"/>
    </row>
    <row r="4" spans="1:38" ht="15.6" x14ac:dyDescent="0.25">
      <c r="B4" s="11"/>
      <c r="C4" s="11"/>
      <c r="D4" s="12"/>
      <c r="E4" s="11"/>
      <c r="F4" s="11"/>
      <c r="G4" s="11"/>
      <c r="H4" s="11"/>
      <c r="I4" s="11"/>
      <c r="J4" s="11"/>
      <c r="K4" s="4"/>
      <c r="L4" s="4"/>
      <c r="M4" s="4"/>
      <c r="N4" s="4"/>
      <c r="O4" s="4"/>
      <c r="P4" s="4"/>
      <c r="Q4" s="4"/>
      <c r="R4" s="5"/>
    </row>
    <row r="5" spans="1:38" ht="15.6" x14ac:dyDescent="0.25">
      <c r="B5" s="11"/>
      <c r="C5" s="11"/>
      <c r="D5" s="12"/>
      <c r="E5" s="11"/>
      <c r="F5" s="11"/>
      <c r="G5" s="11"/>
      <c r="H5" s="11"/>
      <c r="I5" s="11"/>
      <c r="J5" s="11"/>
      <c r="K5" s="4"/>
      <c r="L5" s="4"/>
      <c r="M5" s="4"/>
      <c r="N5" s="4"/>
      <c r="O5" s="4"/>
      <c r="P5" s="4"/>
      <c r="Q5" s="4"/>
      <c r="R5" s="5"/>
    </row>
    <row r="6" spans="1:38" ht="13.2" x14ac:dyDescent="0.25">
      <c r="B6" s="13" t="s">
        <v>3</v>
      </c>
      <c r="C6" s="13"/>
      <c r="D6" s="14"/>
      <c r="E6" s="13"/>
      <c r="F6" s="13"/>
      <c r="G6" s="13"/>
      <c r="H6" s="13"/>
      <c r="I6" s="13"/>
      <c r="J6" s="13"/>
      <c r="K6" s="15"/>
      <c r="L6" s="15"/>
      <c r="M6" s="15"/>
      <c r="N6" s="15"/>
      <c r="O6" s="15"/>
      <c r="P6" s="15"/>
      <c r="Q6" s="15"/>
      <c r="R6" s="16"/>
      <c r="S6" s="16"/>
      <c r="T6" s="15"/>
      <c r="U6" s="15"/>
    </row>
    <row r="7" spans="1:38" ht="13.2" x14ac:dyDescent="0.25">
      <c r="B7" s="13" t="str">
        <f xml:space="preserve"> "CLASS RECORD FOR SY "</f>
        <v xml:space="preserve">CLASS RECORD FOR SY </v>
      </c>
      <c r="C7" s="13"/>
      <c r="D7" s="14"/>
      <c r="E7" s="13"/>
      <c r="F7" s="13"/>
      <c r="G7" s="13"/>
      <c r="H7" s="13"/>
      <c r="I7" s="13"/>
      <c r="J7" s="13"/>
      <c r="K7" s="17" t="s">
        <v>4</v>
      </c>
      <c r="L7" s="17"/>
      <c r="M7" s="17"/>
      <c r="N7" s="17"/>
      <c r="O7" s="17"/>
      <c r="P7" s="17"/>
      <c r="Q7" s="17"/>
      <c r="R7" s="18"/>
      <c r="S7" s="18"/>
      <c r="T7" s="17"/>
      <c r="U7" s="17"/>
    </row>
    <row r="8" spans="1:38" ht="13.2" x14ac:dyDescent="0.25">
      <c r="B8" s="19"/>
      <c r="C8" s="19"/>
      <c r="D8" s="20"/>
      <c r="E8" s="19"/>
      <c r="F8" s="19"/>
      <c r="G8" s="19"/>
      <c r="H8" s="19"/>
      <c r="I8" s="19"/>
      <c r="J8" s="19"/>
      <c r="K8" s="15"/>
      <c r="L8" s="15"/>
      <c r="M8" s="15"/>
      <c r="N8" s="15"/>
      <c r="O8" s="15"/>
      <c r="P8" s="15"/>
      <c r="Q8" s="15"/>
      <c r="R8" s="16"/>
      <c r="S8" s="16"/>
      <c r="T8" s="15"/>
      <c r="U8" s="15"/>
    </row>
    <row r="9" spans="1:38" ht="13.2" x14ac:dyDescent="0.25">
      <c r="B9" s="13" t="s">
        <v>5</v>
      </c>
      <c r="C9" s="13"/>
      <c r="D9" s="14"/>
      <c r="E9" s="13"/>
      <c r="F9" s="13"/>
      <c r="G9" s="13"/>
      <c r="H9" s="13"/>
      <c r="I9" s="13"/>
      <c r="J9" s="13"/>
      <c r="K9" s="21" t="s">
        <v>6</v>
      </c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38" ht="13.2" x14ac:dyDescent="0.25">
      <c r="B10" s="13" t="s">
        <v>7</v>
      </c>
      <c r="C10" s="13"/>
      <c r="D10" s="14"/>
      <c r="E10" s="13"/>
      <c r="F10" s="13"/>
      <c r="G10" s="13"/>
      <c r="H10" s="13"/>
      <c r="I10" s="13"/>
      <c r="J10" s="13"/>
      <c r="K10" s="22" t="s">
        <v>8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38" ht="13.2" x14ac:dyDescent="0.25">
      <c r="B11" s="13" t="s">
        <v>9</v>
      </c>
      <c r="C11" s="13"/>
      <c r="D11" s="14"/>
      <c r="E11" s="13"/>
      <c r="F11" s="13"/>
      <c r="G11" s="13"/>
      <c r="H11" s="13"/>
      <c r="I11" s="13"/>
      <c r="J11" s="13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38" x14ac:dyDescent="0.25">
      <c r="B12" s="23"/>
      <c r="C12" s="23"/>
      <c r="D12" s="24"/>
      <c r="E12" s="23"/>
      <c r="F12" s="23"/>
      <c r="G12" s="23"/>
      <c r="H12" s="23"/>
      <c r="I12" s="23"/>
      <c r="J12" s="23"/>
    </row>
    <row r="13" spans="1:38" x14ac:dyDescent="0.25">
      <c r="A13" s="111"/>
      <c r="B13" s="112"/>
      <c r="C13" s="117"/>
      <c r="D13" s="24"/>
      <c r="E13" s="23"/>
      <c r="F13" s="23"/>
      <c r="G13" s="23"/>
      <c r="H13" s="23"/>
      <c r="I13" s="23"/>
      <c r="J13" s="23"/>
      <c r="AI13" s="25">
        <f>SUM(G16,J16,N16,Y16,Q16,AC16,AG16)</f>
        <v>1</v>
      </c>
    </row>
    <row r="14" spans="1:38" x14ac:dyDescent="0.25">
      <c r="A14" s="113"/>
      <c r="B14" s="110"/>
      <c r="C14" s="118"/>
      <c r="D14" s="26" t="s">
        <v>10</v>
      </c>
      <c r="E14" s="27"/>
      <c r="F14" s="27"/>
      <c r="G14" s="27"/>
      <c r="H14" s="28" t="s">
        <v>11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9" t="s">
        <v>12</v>
      </c>
      <c r="AA14" s="29"/>
      <c r="AB14" s="29"/>
      <c r="AC14" s="29"/>
      <c r="AD14" s="29"/>
      <c r="AE14" s="29"/>
      <c r="AF14" s="29"/>
      <c r="AG14" s="29"/>
      <c r="AH14" s="30" t="s">
        <v>13</v>
      </c>
      <c r="AI14" s="30" t="s">
        <v>14</v>
      </c>
      <c r="AJ14" s="31" t="s">
        <v>15</v>
      </c>
    </row>
    <row r="15" spans="1:38" x14ac:dyDescent="0.25">
      <c r="A15" s="114"/>
      <c r="B15" s="115"/>
      <c r="C15" s="119"/>
      <c r="D15" s="26"/>
      <c r="E15" s="27"/>
      <c r="F15" s="27"/>
      <c r="G15" s="27"/>
      <c r="H15" s="32" t="s">
        <v>16</v>
      </c>
      <c r="I15" s="32"/>
      <c r="J15" s="32"/>
      <c r="K15" s="33" t="s">
        <v>17</v>
      </c>
      <c r="L15" s="34"/>
      <c r="M15" s="34"/>
      <c r="N15" s="26"/>
      <c r="O15" s="32" t="s">
        <v>18</v>
      </c>
      <c r="P15" s="32"/>
      <c r="Q15" s="32"/>
      <c r="R15" s="33" t="s">
        <v>19</v>
      </c>
      <c r="S15" s="34"/>
      <c r="T15" s="34"/>
      <c r="U15" s="34"/>
      <c r="V15" s="34"/>
      <c r="W15" s="34"/>
      <c r="X15" s="34"/>
      <c r="Y15" s="26"/>
      <c r="Z15" s="32" t="s">
        <v>20</v>
      </c>
      <c r="AA15" s="32"/>
      <c r="AB15" s="32"/>
      <c r="AC15" s="32"/>
      <c r="AD15" s="32" t="s">
        <v>21</v>
      </c>
      <c r="AE15" s="32"/>
      <c r="AF15" s="32"/>
      <c r="AG15" s="32"/>
      <c r="AH15" s="30"/>
      <c r="AI15" s="30"/>
      <c r="AJ15" s="31"/>
      <c r="AK15" s="35"/>
      <c r="AL15" s="36"/>
    </row>
    <row r="16" spans="1:38" ht="46.2" customHeight="1" x14ac:dyDescent="0.25">
      <c r="A16" s="116" t="s">
        <v>22</v>
      </c>
      <c r="B16" s="116"/>
      <c r="C16" s="108" t="s">
        <v>34</v>
      </c>
      <c r="D16" s="38" t="s">
        <v>23</v>
      </c>
      <c r="E16" s="39" t="s">
        <v>24</v>
      </c>
      <c r="F16" s="39" t="s">
        <v>25</v>
      </c>
      <c r="G16" s="40">
        <v>0.3</v>
      </c>
      <c r="H16" s="41">
        <v>100</v>
      </c>
      <c r="I16" s="42" t="s">
        <v>25</v>
      </c>
      <c r="J16" s="40">
        <v>0.15</v>
      </c>
      <c r="K16" s="43" t="s">
        <v>26</v>
      </c>
      <c r="L16" s="44" t="s">
        <v>27</v>
      </c>
      <c r="M16" s="45" t="s">
        <v>25</v>
      </c>
      <c r="N16" s="46">
        <v>0.05</v>
      </c>
      <c r="O16" s="41">
        <v>100</v>
      </c>
      <c r="P16" s="42" t="s">
        <v>25</v>
      </c>
      <c r="Q16" s="40">
        <v>0.05</v>
      </c>
      <c r="R16" s="47" t="s">
        <v>28</v>
      </c>
      <c r="S16" s="47" t="s">
        <v>29</v>
      </c>
      <c r="T16" s="47" t="s">
        <v>30</v>
      </c>
      <c r="U16" s="47" t="s">
        <v>31</v>
      </c>
      <c r="V16" s="48" t="s">
        <v>13</v>
      </c>
      <c r="W16" s="44" t="s">
        <v>27</v>
      </c>
      <c r="X16" s="45" t="s">
        <v>25</v>
      </c>
      <c r="Y16" s="49">
        <v>0.05</v>
      </c>
      <c r="Z16" s="41" t="s">
        <v>13</v>
      </c>
      <c r="AA16" s="50" t="s">
        <v>32</v>
      </c>
      <c r="AB16" s="42" t="s">
        <v>25</v>
      </c>
      <c r="AC16" s="40">
        <v>0.2</v>
      </c>
      <c r="AD16" s="41" t="s">
        <v>13</v>
      </c>
      <c r="AE16" s="50" t="s">
        <v>32</v>
      </c>
      <c r="AF16" s="42" t="s">
        <v>25</v>
      </c>
      <c r="AG16" s="51">
        <v>0.2</v>
      </c>
      <c r="AH16" s="30"/>
      <c r="AI16" s="30"/>
      <c r="AJ16" s="31"/>
      <c r="AK16" s="35"/>
      <c r="AL16" s="36"/>
    </row>
    <row r="17" spans="1:39" ht="28.2" customHeight="1" x14ac:dyDescent="0.25">
      <c r="A17" s="37"/>
      <c r="B17" s="37"/>
      <c r="C17" s="108"/>
      <c r="D17" s="52"/>
      <c r="E17" s="39"/>
      <c r="F17" s="39"/>
      <c r="G17" s="53"/>
      <c r="H17" s="54"/>
      <c r="I17" s="55"/>
      <c r="J17" s="53"/>
      <c r="K17" s="41"/>
      <c r="L17" s="56"/>
      <c r="M17" s="57"/>
      <c r="N17" s="58"/>
      <c r="O17" s="54"/>
      <c r="P17" s="55"/>
      <c r="Q17" s="53"/>
      <c r="R17" s="59"/>
      <c r="S17" s="59"/>
      <c r="T17" s="59"/>
      <c r="U17" s="59"/>
      <c r="V17" s="60"/>
      <c r="W17" s="56"/>
      <c r="X17" s="57"/>
      <c r="Y17" s="61"/>
      <c r="Z17" s="54"/>
      <c r="AA17" s="62"/>
      <c r="AB17" s="55"/>
      <c r="AC17" s="53"/>
      <c r="AD17" s="54"/>
      <c r="AE17" s="62"/>
      <c r="AF17" s="55"/>
      <c r="AG17" s="63"/>
      <c r="AH17" s="30"/>
      <c r="AI17" s="30"/>
      <c r="AJ17" s="31"/>
      <c r="AK17" s="35"/>
      <c r="AL17" s="64"/>
    </row>
    <row r="18" spans="1:39" ht="27" customHeight="1" x14ac:dyDescent="0.25">
      <c r="A18" s="37"/>
      <c r="B18" s="37"/>
      <c r="C18" s="109"/>
      <c r="D18" s="65"/>
      <c r="E18" s="66">
        <v>15</v>
      </c>
      <c r="F18" s="67"/>
      <c r="G18" s="53"/>
      <c r="H18" s="68">
        <v>100</v>
      </c>
      <c r="I18" s="55"/>
      <c r="J18" s="53"/>
      <c r="K18" s="69">
        <v>100</v>
      </c>
      <c r="L18" s="70"/>
      <c r="M18" s="42"/>
      <c r="N18" s="40"/>
      <c r="O18" s="68">
        <v>100</v>
      </c>
      <c r="P18" s="55"/>
      <c r="Q18" s="53"/>
      <c r="R18" s="71">
        <v>100</v>
      </c>
      <c r="S18" s="72">
        <v>100</v>
      </c>
      <c r="T18" s="72">
        <v>100</v>
      </c>
      <c r="U18" s="72">
        <v>100</v>
      </c>
      <c r="V18" s="68">
        <f t="shared" ref="V18" si="0">SUM(R18:U18)</f>
        <v>400</v>
      </c>
      <c r="W18" s="70"/>
      <c r="X18" s="42"/>
      <c r="Y18" s="73"/>
      <c r="Z18" s="74">
        <v>100</v>
      </c>
      <c r="AA18" s="68"/>
      <c r="AB18" s="55"/>
      <c r="AC18" s="53"/>
      <c r="AD18" s="74">
        <v>100</v>
      </c>
      <c r="AE18" s="68"/>
      <c r="AF18" s="55"/>
      <c r="AG18" s="63"/>
      <c r="AH18" s="30"/>
      <c r="AI18" s="30"/>
      <c r="AJ18" s="31"/>
      <c r="AK18" s="75">
        <f>SUM(AG16,AC16,Q16,Y16,N16,J16,G16)</f>
        <v>1</v>
      </c>
      <c r="AL18" s="76"/>
    </row>
    <row r="19" spans="1:39" x14ac:dyDescent="0.25">
      <c r="A19" s="77">
        <v>1</v>
      </c>
      <c r="B19" s="78" t="s">
        <v>36</v>
      </c>
      <c r="C19" s="78" t="s">
        <v>35</v>
      </c>
      <c r="D19" s="79">
        <v>14</v>
      </c>
      <c r="E19" s="80">
        <v>95</v>
      </c>
      <c r="F19" s="81">
        <f>LOOKUP(E19,{0,50,70,73.4,76.7,80.1,83.4,86.7,90.1,93.4,96.7},{5,4,3,2.75,2.5,2.25,2,1.75,1.5,1.25,1})</f>
        <v>1.25</v>
      </c>
      <c r="G19" s="82">
        <f t="shared" ref="G19" si="1">F19*G$16</f>
        <v>0.375</v>
      </c>
      <c r="H19" s="83">
        <v>80</v>
      </c>
      <c r="I19" s="81">
        <f>LOOKUP(H19,{0,50,70,73.4,76.7,80.1,83.4,86.7,90.1,93.4,96.7},{5,4,3,2.75,2.5,2.25,2,1.75,1.5,1.25,1})</f>
        <v>2.5</v>
      </c>
      <c r="J19" s="84">
        <f t="shared" ref="J19" si="2">I19*J$16</f>
        <v>0.375</v>
      </c>
      <c r="K19" s="85">
        <v>85</v>
      </c>
      <c r="L19" s="86">
        <v>85</v>
      </c>
      <c r="M19" s="81">
        <f>LOOKUP(L19,{0,50,70,73.4,76.7,80.1,83.4,86.7,90.1,93.4,96.7},{5,4,3,2.75,2.5,2.25,2,1.75,1.5,1.25,1})</f>
        <v>2</v>
      </c>
      <c r="N19" s="82">
        <f>M19*N$16</f>
        <v>0.1</v>
      </c>
      <c r="O19" s="83">
        <v>90</v>
      </c>
      <c r="P19" s="81">
        <f>LOOKUP(O19,{0,50,70,73.4,76.7,80.1,83.4,86.7,90.1,93.4,96.7},{5,4,3,2.75,2.5,2.25,2,1.75,1.5,1.25,1})</f>
        <v>1.75</v>
      </c>
      <c r="Q19" s="84">
        <f t="shared" ref="Q19" si="3">P19*Q$16</f>
        <v>8.7500000000000008E-2</v>
      </c>
      <c r="R19" s="87">
        <v>100</v>
      </c>
      <c r="S19" s="87">
        <v>100</v>
      </c>
      <c r="T19" s="87">
        <v>100</v>
      </c>
      <c r="U19" s="87">
        <v>95</v>
      </c>
      <c r="V19" s="68">
        <v>395</v>
      </c>
      <c r="W19" s="86">
        <v>395</v>
      </c>
      <c r="X19" s="81">
        <f>LOOKUP(W19,{0,50,70,73.4,76.7,80.1,83.4,86.7,90.1,93.4,96.7},{5,4,3,2.75,2.5,2.25,2,1.75,1.5,1.25,1})</f>
        <v>1</v>
      </c>
      <c r="Y19" s="82">
        <f>X19*Y$16</f>
        <v>0.05</v>
      </c>
      <c r="Z19" s="88">
        <v>90</v>
      </c>
      <c r="AA19" s="89">
        <v>90</v>
      </c>
      <c r="AB19" s="81">
        <f>LOOKUP(AA19,{0,50,70,73.4,76.7,80.1,83.4,86.7,90.1,93.4,96.7},{5,4,3,2.75,2.5,2.25,2,1.75,1.5,1.25,1})</f>
        <v>1.75</v>
      </c>
      <c r="AC19" s="90">
        <f>AB19*AC$16</f>
        <v>0.35000000000000003</v>
      </c>
      <c r="AD19" s="91">
        <v>90</v>
      </c>
      <c r="AE19" s="80">
        <v>90</v>
      </c>
      <c r="AF19" s="81">
        <f>LOOKUP(AE19,{0,50,70,73.4,76.7,80.1,83.4,86.7,90.1,93.4,96.7},{5,4,3,2.75,2.5,2.25,2,1.75,1.5,1.25,1})</f>
        <v>1.75</v>
      </c>
      <c r="AG19" s="84">
        <f t="shared" ref="AG19:AG42" si="4">AF19*AG$16</f>
        <v>0.35000000000000003</v>
      </c>
      <c r="AH19" s="92">
        <v>1.25</v>
      </c>
      <c r="AI19" s="93">
        <v>1.25</v>
      </c>
      <c r="AJ19" s="93" t="s">
        <v>33</v>
      </c>
      <c r="AK19" s="35"/>
      <c r="AL19" s="76"/>
      <c r="AM19" s="94"/>
    </row>
    <row r="20" spans="1:39" x14ac:dyDescent="0.25">
      <c r="A20" s="77"/>
      <c r="B20" s="78"/>
      <c r="C20" s="78"/>
      <c r="D20" s="79"/>
      <c r="E20" s="80"/>
      <c r="F20" s="81"/>
      <c r="G20" s="82"/>
      <c r="H20" s="83"/>
      <c r="I20" s="81"/>
      <c r="J20" s="84"/>
      <c r="K20" s="83"/>
      <c r="L20" s="86"/>
      <c r="M20" s="81"/>
      <c r="N20" s="82"/>
      <c r="O20" s="83"/>
      <c r="P20" s="81"/>
      <c r="Q20" s="84"/>
      <c r="R20" s="79"/>
      <c r="S20" s="79"/>
      <c r="T20" s="79"/>
      <c r="U20" s="79"/>
      <c r="V20" s="79"/>
      <c r="W20" s="79"/>
      <c r="X20" s="81"/>
      <c r="Y20" s="82"/>
      <c r="Z20" s="88"/>
      <c r="AA20" s="89"/>
      <c r="AB20" s="81"/>
      <c r="AC20" s="90"/>
      <c r="AD20" s="91"/>
      <c r="AE20" s="80"/>
      <c r="AF20" s="81"/>
      <c r="AG20" s="84"/>
      <c r="AH20" s="92"/>
      <c r="AI20" s="93"/>
      <c r="AJ20" s="93"/>
      <c r="AK20" s="35"/>
      <c r="AL20" s="76"/>
      <c r="AM20" s="94"/>
    </row>
    <row r="21" spans="1:39" x14ac:dyDescent="0.25">
      <c r="A21" s="95"/>
      <c r="B21" s="96"/>
      <c r="C21" s="96"/>
      <c r="D21" s="96"/>
      <c r="E21" s="96"/>
      <c r="F21" s="97"/>
      <c r="G21" s="98"/>
      <c r="H21" s="96"/>
      <c r="I21" s="97"/>
      <c r="J21" s="97"/>
      <c r="K21" s="96"/>
      <c r="L21" s="96"/>
      <c r="M21" s="97"/>
      <c r="N21" s="98"/>
      <c r="O21" s="96"/>
      <c r="P21" s="97"/>
      <c r="Q21" s="97"/>
      <c r="R21" s="96"/>
      <c r="S21" s="96"/>
      <c r="T21" s="96"/>
      <c r="U21" s="96"/>
      <c r="V21" s="99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9"/>
      <c r="AJ21" s="99"/>
      <c r="AK21" s="35"/>
      <c r="AL21" s="76"/>
      <c r="AM21" s="94"/>
    </row>
    <row r="22" spans="1:39" x14ac:dyDescent="0.25">
      <c r="A22" s="77"/>
      <c r="B22" s="78"/>
      <c r="C22" s="78"/>
      <c r="D22" s="79"/>
      <c r="E22" s="79"/>
      <c r="F22" s="81"/>
      <c r="G22" s="82"/>
      <c r="H22" s="79"/>
      <c r="I22" s="81"/>
      <c r="J22" s="84"/>
      <c r="K22" s="79"/>
      <c r="L22" s="79"/>
      <c r="M22" s="81"/>
      <c r="N22" s="82"/>
      <c r="O22" s="79"/>
      <c r="P22" s="81"/>
      <c r="Q22" s="84"/>
      <c r="R22" s="79"/>
      <c r="S22" s="79"/>
      <c r="T22" s="79"/>
      <c r="U22" s="79"/>
      <c r="V22" s="100"/>
      <c r="W22" s="79"/>
      <c r="X22" s="81"/>
      <c r="Y22" s="82"/>
      <c r="Z22" s="79"/>
      <c r="AA22" s="79"/>
      <c r="AB22" s="81"/>
      <c r="AC22" s="90"/>
      <c r="AD22" s="79"/>
      <c r="AE22" s="79"/>
      <c r="AF22" s="81"/>
      <c r="AG22" s="84"/>
      <c r="AH22" s="79"/>
      <c r="AI22" s="100"/>
      <c r="AJ22" s="100"/>
      <c r="AK22" s="35"/>
      <c r="AL22" s="76"/>
      <c r="AM22" s="94"/>
    </row>
    <row r="23" spans="1:39" x14ac:dyDescent="0.25">
      <c r="A23" s="77"/>
      <c r="B23" s="78"/>
      <c r="C23" s="78"/>
      <c r="D23" s="79"/>
      <c r="E23" s="79"/>
      <c r="F23" s="81"/>
      <c r="G23" s="82"/>
      <c r="H23" s="79"/>
      <c r="I23" s="81"/>
      <c r="J23" s="84"/>
      <c r="K23" s="79"/>
      <c r="L23" s="79"/>
      <c r="M23" s="81"/>
      <c r="N23" s="82"/>
      <c r="O23" s="79"/>
      <c r="P23" s="81"/>
      <c r="Q23" s="84"/>
      <c r="R23" s="79"/>
      <c r="S23" s="79"/>
      <c r="T23" s="79"/>
      <c r="U23" s="79"/>
      <c r="V23" s="100"/>
      <c r="W23" s="79"/>
      <c r="X23" s="81"/>
      <c r="Y23" s="82"/>
      <c r="Z23" s="79"/>
      <c r="AA23" s="79"/>
      <c r="AB23" s="81"/>
      <c r="AC23" s="90"/>
      <c r="AD23" s="79"/>
      <c r="AE23" s="79"/>
      <c r="AF23" s="81"/>
      <c r="AG23" s="84"/>
      <c r="AH23" s="79"/>
      <c r="AI23" s="100"/>
      <c r="AJ23" s="100"/>
    </row>
    <row r="24" spans="1:39" x14ac:dyDescent="0.25">
      <c r="A24" s="77"/>
      <c r="B24" s="78"/>
      <c r="C24" s="78"/>
      <c r="D24" s="79"/>
      <c r="E24" s="79"/>
      <c r="F24" s="81"/>
      <c r="G24" s="82"/>
      <c r="H24" s="79"/>
      <c r="I24" s="81"/>
      <c r="J24" s="84"/>
      <c r="K24" s="79"/>
      <c r="L24" s="79"/>
      <c r="M24" s="81"/>
      <c r="N24" s="82"/>
      <c r="O24" s="79"/>
      <c r="P24" s="81"/>
      <c r="Q24" s="84"/>
      <c r="R24" s="79"/>
      <c r="S24" s="79"/>
      <c r="T24" s="79"/>
      <c r="U24" s="79"/>
      <c r="V24" s="100"/>
      <c r="W24" s="79"/>
      <c r="X24" s="81"/>
      <c r="Y24" s="82"/>
      <c r="Z24" s="79"/>
      <c r="AA24" s="79"/>
      <c r="AB24" s="81"/>
      <c r="AC24" s="90"/>
      <c r="AD24" s="79"/>
      <c r="AE24" s="79"/>
      <c r="AF24" s="81"/>
      <c r="AG24" s="84"/>
      <c r="AH24" s="79"/>
      <c r="AI24" s="100"/>
      <c r="AJ24" s="100"/>
    </row>
    <row r="25" spans="1:39" x14ac:dyDescent="0.25">
      <c r="A25" s="77"/>
      <c r="B25" s="78"/>
      <c r="C25" s="78"/>
      <c r="D25" s="79"/>
      <c r="E25" s="79"/>
      <c r="F25" s="81"/>
      <c r="G25" s="82"/>
      <c r="H25" s="79"/>
      <c r="I25" s="81"/>
      <c r="J25" s="84"/>
      <c r="K25" s="79"/>
      <c r="L25" s="79"/>
      <c r="M25" s="81"/>
      <c r="N25" s="82"/>
      <c r="O25" s="79"/>
      <c r="P25" s="81"/>
      <c r="Q25" s="84"/>
      <c r="R25" s="79"/>
      <c r="S25" s="79"/>
      <c r="T25" s="79"/>
      <c r="U25" s="79"/>
      <c r="V25" s="100"/>
      <c r="W25" s="79"/>
      <c r="X25" s="81"/>
      <c r="Y25" s="82"/>
      <c r="Z25" s="79"/>
      <c r="AA25" s="79"/>
      <c r="AB25" s="81"/>
      <c r="AC25" s="90"/>
      <c r="AD25" s="79"/>
      <c r="AE25" s="79"/>
      <c r="AF25" s="81"/>
      <c r="AG25" s="84"/>
      <c r="AH25" s="79"/>
      <c r="AI25" s="100"/>
      <c r="AJ25" s="100"/>
    </row>
    <row r="26" spans="1:39" x14ac:dyDescent="0.25">
      <c r="A26" s="77"/>
      <c r="B26" s="78"/>
      <c r="C26" s="78"/>
      <c r="D26" s="79"/>
      <c r="E26" s="79"/>
      <c r="F26" s="81"/>
      <c r="G26" s="82"/>
      <c r="H26" s="79"/>
      <c r="I26" s="81"/>
      <c r="J26" s="84"/>
      <c r="K26" s="79"/>
      <c r="L26" s="79"/>
      <c r="M26" s="81"/>
      <c r="N26" s="82"/>
      <c r="O26" s="79"/>
      <c r="P26" s="81"/>
      <c r="Q26" s="84"/>
      <c r="R26" s="79"/>
      <c r="S26" s="79"/>
      <c r="T26" s="79"/>
      <c r="U26" s="79"/>
      <c r="V26" s="100"/>
      <c r="W26" s="79"/>
      <c r="X26" s="81"/>
      <c r="Y26" s="82"/>
      <c r="Z26" s="79"/>
      <c r="AA26" s="79"/>
      <c r="AB26" s="81"/>
      <c r="AC26" s="90"/>
      <c r="AD26" s="79"/>
      <c r="AE26" s="79"/>
      <c r="AF26" s="81"/>
      <c r="AG26" s="84"/>
      <c r="AH26" s="79"/>
      <c r="AI26" s="100"/>
      <c r="AJ26" s="100"/>
    </row>
    <row r="27" spans="1:39" x14ac:dyDescent="0.25">
      <c r="A27" s="77"/>
      <c r="B27" s="78"/>
      <c r="C27" s="78"/>
      <c r="D27" s="79"/>
      <c r="E27" s="79"/>
      <c r="F27" s="81"/>
      <c r="G27" s="82"/>
      <c r="H27" s="79"/>
      <c r="I27" s="81"/>
      <c r="J27" s="84"/>
      <c r="K27" s="79"/>
      <c r="L27" s="79"/>
      <c r="M27" s="81"/>
      <c r="N27" s="82"/>
      <c r="O27" s="79"/>
      <c r="P27" s="81"/>
      <c r="Q27" s="84"/>
      <c r="R27" s="79"/>
      <c r="S27" s="79"/>
      <c r="T27" s="79"/>
      <c r="U27" s="79"/>
      <c r="V27" s="100"/>
      <c r="W27" s="79"/>
      <c r="X27" s="81"/>
      <c r="Y27" s="82"/>
      <c r="Z27" s="79"/>
      <c r="AA27" s="79"/>
      <c r="AB27" s="81"/>
      <c r="AC27" s="90"/>
      <c r="AD27" s="79"/>
      <c r="AE27" s="79"/>
      <c r="AF27" s="81"/>
      <c r="AG27" s="84"/>
      <c r="AH27" s="79"/>
      <c r="AI27" s="100"/>
      <c r="AJ27" s="100"/>
    </row>
    <row r="28" spans="1:39" x14ac:dyDescent="0.25">
      <c r="A28" s="77"/>
      <c r="B28" s="78"/>
      <c r="C28" s="78"/>
      <c r="D28" s="79"/>
      <c r="E28" s="79"/>
      <c r="F28" s="81"/>
      <c r="G28" s="82"/>
      <c r="H28" s="79"/>
      <c r="I28" s="81"/>
      <c r="J28" s="84"/>
      <c r="K28" s="79"/>
      <c r="L28" s="79"/>
      <c r="M28" s="81"/>
      <c r="N28" s="82"/>
      <c r="O28" s="79"/>
      <c r="P28" s="81"/>
      <c r="Q28" s="84"/>
      <c r="R28" s="79"/>
      <c r="S28" s="79"/>
      <c r="T28" s="79"/>
      <c r="U28" s="79"/>
      <c r="V28" s="100"/>
      <c r="W28" s="79"/>
      <c r="X28" s="81"/>
      <c r="Y28" s="82"/>
      <c r="Z28" s="79"/>
      <c r="AA28" s="79"/>
      <c r="AB28" s="81"/>
      <c r="AC28" s="90"/>
      <c r="AD28" s="79"/>
      <c r="AE28" s="79"/>
      <c r="AF28" s="81"/>
      <c r="AG28" s="84"/>
      <c r="AH28" s="79"/>
      <c r="AI28" s="100"/>
      <c r="AJ28" s="100"/>
    </row>
    <row r="29" spans="1:39" x14ac:dyDescent="0.25">
      <c r="A29" s="77"/>
      <c r="B29" s="78"/>
      <c r="C29" s="78"/>
      <c r="D29" s="79"/>
      <c r="E29" s="79"/>
      <c r="F29" s="81"/>
      <c r="G29" s="82"/>
      <c r="H29" s="79"/>
      <c r="I29" s="81"/>
      <c r="J29" s="84"/>
      <c r="K29" s="79"/>
      <c r="L29" s="79"/>
      <c r="M29" s="81"/>
      <c r="N29" s="82"/>
      <c r="O29" s="79"/>
      <c r="P29" s="81"/>
      <c r="Q29" s="84"/>
      <c r="R29" s="79"/>
      <c r="S29" s="79"/>
      <c r="T29" s="79"/>
      <c r="U29" s="79"/>
      <c r="V29" s="100"/>
      <c r="W29" s="79"/>
      <c r="X29" s="81"/>
      <c r="Y29" s="82"/>
      <c r="Z29" s="79"/>
      <c r="AA29" s="79"/>
      <c r="AB29" s="81"/>
      <c r="AC29" s="90"/>
      <c r="AD29" s="79"/>
      <c r="AE29" s="79"/>
      <c r="AF29" s="81"/>
      <c r="AG29" s="84"/>
      <c r="AH29" s="79"/>
      <c r="AI29" s="100"/>
      <c r="AJ29" s="100"/>
    </row>
    <row r="30" spans="1:39" x14ac:dyDescent="0.25">
      <c r="A30" s="77"/>
      <c r="B30" s="78"/>
      <c r="C30" s="78"/>
      <c r="D30" s="79"/>
      <c r="E30" s="79"/>
      <c r="F30" s="81"/>
      <c r="G30" s="82"/>
      <c r="H30" s="79"/>
      <c r="I30" s="81"/>
      <c r="J30" s="84"/>
      <c r="K30" s="79"/>
      <c r="L30" s="79"/>
      <c r="M30" s="81"/>
      <c r="N30" s="82"/>
      <c r="O30" s="79"/>
      <c r="P30" s="81"/>
      <c r="Q30" s="84"/>
      <c r="R30" s="79"/>
      <c r="S30" s="79"/>
      <c r="T30" s="79"/>
      <c r="U30" s="79"/>
      <c r="V30" s="100"/>
      <c r="W30" s="79"/>
      <c r="X30" s="81"/>
      <c r="Y30" s="82"/>
      <c r="Z30" s="79"/>
      <c r="AA30" s="79"/>
      <c r="AB30" s="81"/>
      <c r="AC30" s="90"/>
      <c r="AD30" s="79"/>
      <c r="AE30" s="79"/>
      <c r="AF30" s="81"/>
      <c r="AG30" s="84"/>
      <c r="AH30" s="79"/>
      <c r="AI30" s="100"/>
      <c r="AJ30" s="100"/>
    </row>
    <row r="31" spans="1:39" x14ac:dyDescent="0.25">
      <c r="A31" s="77"/>
      <c r="B31" s="78"/>
      <c r="C31" s="78"/>
      <c r="D31" s="79"/>
      <c r="E31" s="79"/>
      <c r="F31" s="81"/>
      <c r="G31" s="82"/>
      <c r="H31" s="79"/>
      <c r="I31" s="81"/>
      <c r="J31" s="84"/>
      <c r="K31" s="79"/>
      <c r="L31" s="79"/>
      <c r="M31" s="81"/>
      <c r="N31" s="82"/>
      <c r="O31" s="79"/>
      <c r="P31" s="81"/>
      <c r="Q31" s="84"/>
      <c r="R31" s="79"/>
      <c r="S31" s="79"/>
      <c r="T31" s="79"/>
      <c r="U31" s="79"/>
      <c r="V31" s="100"/>
      <c r="W31" s="79"/>
      <c r="X31" s="81"/>
      <c r="Y31" s="82"/>
      <c r="Z31" s="79"/>
      <c r="AA31" s="79"/>
      <c r="AB31" s="81"/>
      <c r="AC31" s="90"/>
      <c r="AD31" s="79"/>
      <c r="AE31" s="79"/>
      <c r="AF31" s="81"/>
      <c r="AG31" s="84"/>
      <c r="AH31" s="79"/>
      <c r="AI31" s="100"/>
      <c r="AJ31" s="100"/>
    </row>
    <row r="32" spans="1:39" x14ac:dyDescent="0.25">
      <c r="A32" s="77"/>
      <c r="B32" s="78"/>
      <c r="C32" s="78"/>
      <c r="D32" s="79"/>
      <c r="E32" s="79"/>
      <c r="F32" s="81"/>
      <c r="G32" s="82"/>
      <c r="H32" s="79"/>
      <c r="I32" s="81"/>
      <c r="J32" s="84"/>
      <c r="K32" s="79"/>
      <c r="L32" s="79"/>
      <c r="M32" s="81"/>
      <c r="N32" s="82"/>
      <c r="O32" s="79"/>
      <c r="P32" s="81"/>
      <c r="Q32" s="84"/>
      <c r="R32" s="79"/>
      <c r="S32" s="79"/>
      <c r="T32" s="79"/>
      <c r="U32" s="79"/>
      <c r="V32" s="100"/>
      <c r="W32" s="79"/>
      <c r="X32" s="81"/>
      <c r="Y32" s="82"/>
      <c r="Z32" s="79"/>
      <c r="AA32" s="79"/>
      <c r="AB32" s="81"/>
      <c r="AC32" s="90"/>
      <c r="AD32" s="79"/>
      <c r="AE32" s="79"/>
      <c r="AF32" s="81"/>
      <c r="AG32" s="84"/>
      <c r="AH32" s="79"/>
      <c r="AI32" s="100"/>
      <c r="AJ32" s="100"/>
    </row>
    <row r="33" spans="1:36" x14ac:dyDescent="0.25">
      <c r="A33" s="77"/>
      <c r="B33" s="77"/>
      <c r="C33" s="106"/>
      <c r="D33" s="79"/>
      <c r="E33" s="79"/>
      <c r="F33" s="81"/>
      <c r="G33" s="82"/>
      <c r="H33" s="79"/>
      <c r="I33" s="81"/>
      <c r="J33" s="84"/>
      <c r="K33" s="79"/>
      <c r="L33" s="79"/>
      <c r="M33" s="81"/>
      <c r="N33" s="82"/>
      <c r="O33" s="79"/>
      <c r="P33" s="81"/>
      <c r="Q33" s="84"/>
      <c r="R33" s="79"/>
      <c r="S33" s="79"/>
      <c r="T33" s="79"/>
      <c r="U33" s="79"/>
      <c r="V33" s="100"/>
      <c r="W33" s="79"/>
      <c r="X33" s="81"/>
      <c r="Y33" s="82"/>
      <c r="Z33" s="79"/>
      <c r="AA33" s="79"/>
      <c r="AB33" s="81"/>
      <c r="AC33" s="90"/>
      <c r="AD33" s="79"/>
      <c r="AE33" s="79"/>
      <c r="AF33" s="81"/>
      <c r="AG33" s="84"/>
      <c r="AH33" s="79"/>
      <c r="AI33" s="100"/>
      <c r="AJ33" s="100"/>
    </row>
    <row r="34" spans="1:36" x14ac:dyDescent="0.25">
      <c r="A34" s="77"/>
      <c r="B34" s="77"/>
      <c r="C34" s="106"/>
      <c r="D34" s="79"/>
      <c r="E34" s="79"/>
      <c r="F34" s="81"/>
      <c r="G34" s="82"/>
      <c r="H34" s="79"/>
      <c r="I34" s="81"/>
      <c r="J34" s="84"/>
      <c r="K34" s="79"/>
      <c r="L34" s="79"/>
      <c r="M34" s="81"/>
      <c r="N34" s="82"/>
      <c r="O34" s="79"/>
      <c r="P34" s="81"/>
      <c r="Q34" s="84"/>
      <c r="R34" s="79"/>
      <c r="S34" s="79"/>
      <c r="T34" s="79"/>
      <c r="U34" s="79"/>
      <c r="V34" s="100"/>
      <c r="W34" s="79"/>
      <c r="X34" s="81"/>
      <c r="Y34" s="82"/>
      <c r="Z34" s="79"/>
      <c r="AA34" s="79"/>
      <c r="AB34" s="81"/>
      <c r="AC34" s="90"/>
      <c r="AD34" s="79"/>
      <c r="AE34" s="79"/>
      <c r="AF34" s="81"/>
      <c r="AG34" s="84"/>
      <c r="AH34" s="79"/>
      <c r="AI34" s="100"/>
      <c r="AJ34" s="100"/>
    </row>
    <row r="35" spans="1:36" x14ac:dyDescent="0.25">
      <c r="A35" s="77"/>
      <c r="B35" s="77"/>
      <c r="C35" s="106"/>
      <c r="D35" s="79"/>
      <c r="E35" s="79"/>
      <c r="F35" s="81"/>
      <c r="G35" s="82"/>
      <c r="H35" s="79"/>
      <c r="I35" s="81"/>
      <c r="J35" s="84"/>
      <c r="K35" s="79"/>
      <c r="L35" s="79"/>
      <c r="M35" s="81"/>
      <c r="N35" s="82"/>
      <c r="O35" s="79"/>
      <c r="P35" s="81"/>
      <c r="Q35" s="84"/>
      <c r="R35" s="79"/>
      <c r="S35" s="79"/>
      <c r="T35" s="79"/>
      <c r="U35" s="79"/>
      <c r="V35" s="100"/>
      <c r="W35" s="79"/>
      <c r="X35" s="81"/>
      <c r="Y35" s="82"/>
      <c r="Z35" s="79"/>
      <c r="AA35" s="79"/>
      <c r="AB35" s="81"/>
      <c r="AC35" s="90"/>
      <c r="AD35" s="79"/>
      <c r="AE35" s="79"/>
      <c r="AF35" s="81"/>
      <c r="AG35" s="84"/>
      <c r="AH35" s="79"/>
      <c r="AI35" s="100"/>
      <c r="AJ35" s="100"/>
    </row>
    <row r="36" spans="1:36" s="104" customFormat="1" x14ac:dyDescent="0.25">
      <c r="A36" s="95"/>
      <c r="B36" s="95"/>
      <c r="C36" s="107"/>
      <c r="D36" s="101"/>
      <c r="E36" s="101"/>
      <c r="F36" s="97"/>
      <c r="G36" s="98"/>
      <c r="H36" s="101"/>
      <c r="I36" s="97"/>
      <c r="J36" s="97"/>
      <c r="K36" s="101"/>
      <c r="L36" s="101"/>
      <c r="M36" s="97"/>
      <c r="N36" s="98"/>
      <c r="O36" s="101"/>
      <c r="P36" s="97"/>
      <c r="Q36" s="97"/>
      <c r="R36" s="101"/>
      <c r="S36" s="101"/>
      <c r="T36" s="101"/>
      <c r="U36" s="101"/>
      <c r="V36" s="101"/>
      <c r="W36" s="101"/>
      <c r="X36" s="97"/>
      <c r="Y36" s="98"/>
      <c r="Z36" s="101"/>
      <c r="AA36" s="101"/>
      <c r="AB36" s="97"/>
      <c r="AC36" s="102"/>
      <c r="AD36" s="101"/>
      <c r="AE36" s="101"/>
      <c r="AF36" s="97"/>
      <c r="AG36" s="97"/>
      <c r="AH36" s="101"/>
      <c r="AI36" s="103"/>
      <c r="AJ36" s="103"/>
    </row>
    <row r="37" spans="1:36" x14ac:dyDescent="0.25">
      <c r="A37" s="77"/>
      <c r="B37" s="77"/>
      <c r="C37" s="106"/>
      <c r="D37" s="79"/>
      <c r="E37" s="79"/>
      <c r="F37" s="81"/>
      <c r="G37" s="82"/>
      <c r="H37" s="79"/>
      <c r="I37" s="81"/>
      <c r="J37" s="84"/>
      <c r="K37" s="79"/>
      <c r="L37" s="79"/>
      <c r="M37" s="81"/>
      <c r="N37" s="82"/>
      <c r="O37" s="79"/>
      <c r="P37" s="81"/>
      <c r="Q37" s="84"/>
      <c r="R37" s="79"/>
      <c r="S37" s="79"/>
      <c r="T37" s="79"/>
      <c r="U37" s="79"/>
      <c r="V37" s="79"/>
      <c r="W37" s="79"/>
      <c r="X37" s="81"/>
      <c r="Y37" s="82"/>
      <c r="Z37" s="79"/>
      <c r="AA37" s="79"/>
      <c r="AB37" s="81"/>
      <c r="AC37" s="90"/>
      <c r="AD37" s="79"/>
      <c r="AE37" s="79"/>
      <c r="AF37" s="81"/>
      <c r="AG37" s="84"/>
      <c r="AH37" s="79"/>
      <c r="AI37" s="100"/>
      <c r="AJ37" s="100"/>
    </row>
    <row r="38" spans="1:36" x14ac:dyDescent="0.25">
      <c r="A38" s="77"/>
      <c r="B38" s="77"/>
      <c r="C38" s="106"/>
      <c r="D38" s="79"/>
      <c r="E38" s="79"/>
      <c r="F38" s="81"/>
      <c r="G38" s="82"/>
      <c r="H38" s="79"/>
      <c r="I38" s="81"/>
      <c r="J38" s="84"/>
      <c r="K38" s="79"/>
      <c r="L38" s="79"/>
      <c r="M38" s="81"/>
      <c r="N38" s="82"/>
      <c r="O38" s="79"/>
      <c r="P38" s="81"/>
      <c r="Q38" s="84"/>
      <c r="R38" s="79"/>
      <c r="S38" s="79"/>
      <c r="T38" s="79"/>
      <c r="U38" s="79"/>
      <c r="V38" s="79"/>
      <c r="W38" s="79"/>
      <c r="X38" s="81"/>
      <c r="Y38" s="82"/>
      <c r="Z38" s="79"/>
      <c r="AA38" s="79"/>
      <c r="AB38" s="81"/>
      <c r="AC38" s="90"/>
      <c r="AD38" s="79"/>
      <c r="AE38" s="79"/>
      <c r="AF38" s="81"/>
      <c r="AG38" s="84"/>
      <c r="AH38" s="79"/>
      <c r="AI38" s="100"/>
      <c r="AJ38" s="100"/>
    </row>
    <row r="39" spans="1:36" x14ac:dyDescent="0.25">
      <c r="A39" s="77"/>
      <c r="B39" s="77"/>
      <c r="C39" s="106"/>
      <c r="D39" s="79"/>
      <c r="E39" s="79"/>
      <c r="F39" s="81"/>
      <c r="G39" s="82"/>
      <c r="H39" s="79"/>
      <c r="I39" s="81"/>
      <c r="J39" s="84"/>
      <c r="K39" s="79"/>
      <c r="L39" s="79"/>
      <c r="M39" s="81"/>
      <c r="N39" s="82"/>
      <c r="O39" s="79"/>
      <c r="P39" s="81"/>
      <c r="Q39" s="84"/>
      <c r="R39" s="79"/>
      <c r="S39" s="79"/>
      <c r="T39" s="79"/>
      <c r="U39" s="79"/>
      <c r="V39" s="79"/>
      <c r="W39" s="79"/>
      <c r="X39" s="81"/>
      <c r="Y39" s="82"/>
      <c r="Z39" s="79"/>
      <c r="AA39" s="79"/>
      <c r="AB39" s="81"/>
      <c r="AC39" s="90"/>
      <c r="AD39" s="79"/>
      <c r="AE39" s="79"/>
      <c r="AF39" s="81"/>
      <c r="AG39" s="84"/>
      <c r="AH39" s="79"/>
      <c r="AI39" s="100"/>
      <c r="AJ39" s="100"/>
    </row>
    <row r="40" spans="1:36" x14ac:dyDescent="0.25">
      <c r="A40" s="77"/>
      <c r="B40" s="77"/>
      <c r="C40" s="106"/>
      <c r="D40" s="79"/>
      <c r="E40" s="79"/>
      <c r="F40" s="81"/>
      <c r="G40" s="82"/>
      <c r="H40" s="79"/>
      <c r="I40" s="81"/>
      <c r="J40" s="84"/>
      <c r="K40" s="79"/>
      <c r="L40" s="79"/>
      <c r="M40" s="81"/>
      <c r="N40" s="82"/>
      <c r="O40" s="79"/>
      <c r="P40" s="81"/>
      <c r="Q40" s="84"/>
      <c r="R40" s="79"/>
      <c r="S40" s="79"/>
      <c r="T40" s="79"/>
      <c r="U40" s="79"/>
      <c r="V40" s="79"/>
      <c r="W40" s="79"/>
      <c r="X40" s="81"/>
      <c r="Y40" s="82"/>
      <c r="Z40" s="79"/>
      <c r="AA40" s="79"/>
      <c r="AB40" s="81"/>
      <c r="AC40" s="90"/>
      <c r="AD40" s="79"/>
      <c r="AE40" s="79"/>
      <c r="AF40" s="81"/>
      <c r="AG40" s="84"/>
      <c r="AH40" s="79"/>
      <c r="AI40" s="100"/>
      <c r="AJ40" s="100"/>
    </row>
    <row r="41" spans="1:36" x14ac:dyDescent="0.25">
      <c r="A41" s="77"/>
      <c r="B41" s="77"/>
      <c r="C41" s="106"/>
      <c r="D41" s="79"/>
      <c r="E41" s="79"/>
      <c r="F41" s="81"/>
      <c r="G41" s="82"/>
      <c r="H41" s="79"/>
      <c r="I41" s="81"/>
      <c r="J41" s="84"/>
      <c r="K41" s="79"/>
      <c r="L41" s="79"/>
      <c r="M41" s="81"/>
      <c r="N41" s="82"/>
      <c r="O41" s="79"/>
      <c r="P41" s="81"/>
      <c r="Q41" s="84"/>
      <c r="R41" s="79"/>
      <c r="S41" s="79"/>
      <c r="T41" s="79"/>
      <c r="U41" s="79"/>
      <c r="V41" s="79"/>
      <c r="W41" s="79"/>
      <c r="X41" s="81"/>
      <c r="Y41" s="82"/>
      <c r="Z41" s="79"/>
      <c r="AA41" s="79"/>
      <c r="AB41" s="81"/>
      <c r="AC41" s="90"/>
      <c r="AD41" s="79"/>
      <c r="AE41" s="79"/>
      <c r="AF41" s="81"/>
      <c r="AG41" s="84"/>
      <c r="AH41" s="79"/>
      <c r="AI41" s="100"/>
      <c r="AJ41" s="100"/>
    </row>
    <row r="42" spans="1:36" x14ac:dyDescent="0.25">
      <c r="A42" s="77"/>
      <c r="B42" s="77"/>
      <c r="C42" s="106"/>
      <c r="D42" s="79"/>
      <c r="E42" s="79"/>
      <c r="F42" s="81"/>
      <c r="G42" s="82"/>
      <c r="H42" s="79"/>
      <c r="I42" s="81"/>
      <c r="J42" s="84"/>
      <c r="K42" s="79"/>
      <c r="L42" s="79"/>
      <c r="M42" s="81"/>
      <c r="N42" s="82"/>
      <c r="O42" s="79"/>
      <c r="P42" s="81"/>
      <c r="Q42" s="84"/>
      <c r="R42" s="79"/>
      <c r="S42" s="79"/>
      <c r="T42" s="79"/>
      <c r="U42" s="79"/>
      <c r="V42" s="79"/>
      <c r="W42" s="79"/>
      <c r="X42" s="81"/>
      <c r="Y42" s="82"/>
      <c r="Z42" s="79"/>
      <c r="AA42" s="79"/>
      <c r="AB42" s="81"/>
      <c r="AC42" s="90"/>
      <c r="AD42" s="79"/>
      <c r="AE42" s="79"/>
      <c r="AF42" s="81"/>
      <c r="AG42" s="84"/>
      <c r="AH42" s="79"/>
      <c r="AI42" s="100"/>
      <c r="AJ42" s="100"/>
    </row>
  </sheetData>
  <mergeCells count="48">
    <mergeCell ref="AG16:AG18"/>
    <mergeCell ref="C16:C18"/>
    <mergeCell ref="A13:C15"/>
    <mergeCell ref="AA16:AA17"/>
    <mergeCell ref="AB16:AB18"/>
    <mergeCell ref="AC16:AC18"/>
    <mergeCell ref="AD16:AD17"/>
    <mergeCell ref="AE16:AE17"/>
    <mergeCell ref="AF16:AF18"/>
    <mergeCell ref="U16:U17"/>
    <mergeCell ref="V16:V17"/>
    <mergeCell ref="W16:W18"/>
    <mergeCell ref="X16:X18"/>
    <mergeCell ref="Y16:Y18"/>
    <mergeCell ref="Z16:Z17"/>
    <mergeCell ref="O16:O17"/>
    <mergeCell ref="P16:P18"/>
    <mergeCell ref="Q16:Q18"/>
    <mergeCell ref="R16:R17"/>
    <mergeCell ref="S16:S17"/>
    <mergeCell ref="T16:T17"/>
    <mergeCell ref="I16:I18"/>
    <mergeCell ref="J16:J18"/>
    <mergeCell ref="K16:K17"/>
    <mergeCell ref="L16:L18"/>
    <mergeCell ref="M16:M18"/>
    <mergeCell ref="N16:N18"/>
    <mergeCell ref="A16:B18"/>
    <mergeCell ref="D16:D17"/>
    <mergeCell ref="E16:E17"/>
    <mergeCell ref="F16:F18"/>
    <mergeCell ref="G16:G18"/>
    <mergeCell ref="H16:H17"/>
    <mergeCell ref="Z14:AG14"/>
    <mergeCell ref="AH14:AH18"/>
    <mergeCell ref="AI14:AI18"/>
    <mergeCell ref="AJ14:AJ18"/>
    <mergeCell ref="H15:J15"/>
    <mergeCell ref="K15:N15"/>
    <mergeCell ref="O15:Q15"/>
    <mergeCell ref="R15:Y15"/>
    <mergeCell ref="Z15:AC15"/>
    <mergeCell ref="AD15:AG15"/>
    <mergeCell ref="K9:U9"/>
    <mergeCell ref="K10:U10"/>
    <mergeCell ref="K11:U11"/>
    <mergeCell ref="D14:G15"/>
    <mergeCell ref="H14:Y14"/>
  </mergeCells>
  <conditionalFormatting sqref="AI19:AI20">
    <cfRule type="cellIs" dxfId="0" priority="1" stopIfTrue="1" operator="equal">
      <formula>5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Warvin Mogate</dc:creator>
  <cp:lastModifiedBy>Warvin Mogate</cp:lastModifiedBy>
  <dcterms:created xsi:type="dcterms:W3CDTF">2025-11-16T10:00:40Z</dcterms:created>
  <dcterms:modified xsi:type="dcterms:W3CDTF">2025-11-16T10:16:37Z</dcterms:modified>
</cp:coreProperties>
</file>